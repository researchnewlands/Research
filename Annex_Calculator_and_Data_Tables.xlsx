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Data tables" sheetId="2" state="visible" r:id="rId4"/>
    <sheet name="2x2 calculator" sheetId="3" state="visible" r:id="rId5"/>
    <sheet name="Rate calculator" sheetId="4" state="visible" r:id="rId6"/>
    <sheet name="My results" sheetId="5" state="visible" r:id="rId7"/>
  </sheets>
  <definedNames>
    <definedName function="false" hidden="false" localSheetId="4" name="_xlnm.Print_Area" vbProcedure="false">'My results'!$A$1:$D$36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<sst xmlns="http://schemas.openxmlformats.org/spreadsheetml/2006/main" count="310" uniqueCount="198">
  <si>
    <t xml:space="preserve">Concept Note Annex – Calculator and Data Tables</t>
  </si>
  <si>
    <t xml:space="preserve">Research Masterclass for Clinicians • Newlands Clinic • NCD–HIV cohort teaching dataset (simulated)</t>
  </si>
  <si>
    <t xml:space="preserve">How to use this workbook</t>
  </si>
  <si>
    <t xml:space="preserve">1. Go to the "2x2 calculator" sheet. Type your name, then choose any one table from the dropdown list. It does not need to match your research question.</t>
  </si>
  <si>
    <t xml:space="preserve">2. Look up your table on the "Data tables" sheet. Type its values a, b, c and d into the yellow cells of the 2×2 table.</t>
  </si>
  <si>
    <t xml:space="preserve">     a = exposed with the outcome • b = exposed without the outcome • c = unexposed with the outcome • d = unexposed without the outcome</t>
  </si>
  <si>
    <t xml:space="preserve">3. The calculator works out every result; the formula used is shown beside each result.</t>
  </si>
  <si>
    <t xml:space="preserve">4. Optional, cohort (C) tables only: on the "Rate calculator" sheet, choose the same table and type the new cases and person-years.</t>
  </si>
  <si>
    <t xml:space="preserve">5. Open the "My results" sheet. In the yellow box below the summary lines, write 1–2 sentences interpreting your ratio and its 95% CI in your own words.</t>
  </si>
  <si>
    <t xml:space="preserve">   Then copy the whole sheet into your annex template (select the cells, copy, and paste into Word).</t>
  </si>
  <si>
    <t xml:space="preserve">6. Save this workbook as Surname_Firstname_Calculator.xlsx and attach it to your submission email with your PDF.</t>
  </si>
  <si>
    <t xml:space="preserve">Worked example (table X1)</t>
  </si>
  <si>
    <t xml:space="preserve">Table X1 compares HIV-positive (exposed) with HIV-negative (unexposed) participants for probable depression. You would enter a = 86, b = 207, c = 292, d = 1915.</t>
  </si>
  <si>
    <t xml:space="preserve">The calculator then shows a prevalence of 29.4% vs 13.2% and a prevalence ratio of 2.22 (95% CI 1.80 to 2.73). Choose a different table for your own annex.</t>
  </si>
  <si>
    <t xml:space="preserve">Legend</t>
  </si>
  <si>
    <t xml:space="preserve">Yellow cells with blue text = cells you fill in. Grey cells = filled in automatically (they are locked).</t>
  </si>
  <si>
    <t xml:space="preserve">About the counts</t>
  </si>
  <si>
    <t xml:space="preserve">All counts are unweighted and come from NCD_HIV_cohort_dataset.csv.</t>
  </si>
  <si>
    <t xml:space="preserve">Cohort tables (C) include only people who completed follow-up and did not have the outcome at baseline (except C8).</t>
  </si>
  <si>
    <t xml:space="preserve">Data tables – ready-made 2×2 counts</t>
  </si>
  <si>
    <t xml:space="preserve">Source: NCD_HIV_cohort_dataset.csv, unweighted counts. a = exposed with outcome, b = exposed without, c = unexposed with outcome, d = unexposed without.</t>
  </si>
  <si>
    <t xml:space="preserve">Choose any one table. X = cross-sectional (baseline); C = cohort (baseline to follow-up).</t>
  </si>
  <si>
    <t xml:space="preserve">ID</t>
  </si>
  <si>
    <t xml:space="preserve">Design</t>
  </si>
  <si>
    <t xml:space="preserve">Population</t>
  </si>
  <si>
    <t xml:space="preserve">Exposure</t>
  </si>
  <si>
    <t xml:space="preserve">Exposed group</t>
  </si>
  <si>
    <t xml:space="preserve">Unexposed group</t>
  </si>
  <si>
    <t xml:space="preserve">Outcome</t>
  </si>
  <si>
    <t xml:space="preserve">a</t>
  </si>
  <si>
    <t xml:space="preserve">b</t>
  </si>
  <si>
    <t xml:space="preserve">c</t>
  </si>
  <si>
    <t xml:space="preserve">d</t>
  </si>
  <si>
    <t xml:space="preserve">Total exposed (a+b)</t>
  </si>
  <si>
    <t xml:space="preserve">Total unexposed (c+d)</t>
  </si>
  <si>
    <t xml:space="preserve">N</t>
  </si>
  <si>
    <t xml:space="preserve">Person-years exposed</t>
  </si>
  <si>
    <t xml:space="preserve">Person-years unexposed</t>
  </si>
  <si>
    <t xml:space="preserve">Table (as in dropdown)</t>
  </si>
  <si>
    <t xml:space="preserve">X1</t>
  </si>
  <si>
    <t xml:space="preserve">Cross-sectional</t>
  </si>
  <si>
    <t xml:space="preserve">All participants</t>
  </si>
  <si>
    <t xml:space="preserve">HIV status</t>
  </si>
  <si>
    <t xml:space="preserve">HIV-positive</t>
  </si>
  <si>
    <t xml:space="preserve">HIV-negative</t>
  </si>
  <si>
    <t xml:space="preserve">Probable depression (PHQ-9 ≥10)</t>
  </si>
  <si>
    <t xml:space="preserve">—</t>
  </si>
  <si>
    <t xml:space="preserve">X1 – HIV status → Probable depression (PHQ-9 ≥10)</t>
  </si>
  <si>
    <t xml:space="preserve">X2</t>
  </si>
  <si>
    <t xml:space="preserve">Hypertension</t>
  </si>
  <si>
    <t xml:space="preserve">X2 – HIV status → Hypertension</t>
  </si>
  <si>
    <t xml:space="preserve">X3</t>
  </si>
  <si>
    <t xml:space="preserve">Obesity (BMI ≥30)</t>
  </si>
  <si>
    <t xml:space="preserve">BMI ≥30</t>
  </si>
  <si>
    <t xml:space="preserve">BMI &lt;30</t>
  </si>
  <si>
    <t xml:space="preserve">X3 – Obesity (BMI ≥30) → Hypertension</t>
  </si>
  <si>
    <t xml:space="preserve">X4</t>
  </si>
  <si>
    <t xml:space="preserve">Residence</t>
  </si>
  <si>
    <t xml:space="preserve">Urban</t>
  </si>
  <si>
    <t xml:space="preserve">Rural</t>
  </si>
  <si>
    <t xml:space="preserve">X4 – Residence → Obesity (BMI ≥30)</t>
  </si>
  <si>
    <t xml:space="preserve">X5</t>
  </si>
  <si>
    <t xml:space="preserve">Sex</t>
  </si>
  <si>
    <t xml:space="preserve">Female</t>
  </si>
  <si>
    <t xml:space="preserve">Male</t>
  </si>
  <si>
    <t xml:space="preserve">X5 – Sex → Obesity (BMI ≥30)</t>
  </si>
  <si>
    <t xml:space="preserve">X6</t>
  </si>
  <si>
    <t xml:space="preserve">Hazardous alcohol use (AUDIT-C)</t>
  </si>
  <si>
    <t xml:space="preserve">Hazardous</t>
  </si>
  <si>
    <t xml:space="preserve">Not hazardous</t>
  </si>
  <si>
    <t xml:space="preserve">X6 – Hazardous alcohol use (AUDIT-C) → Hypertension</t>
  </si>
  <si>
    <t xml:space="preserve">X7</t>
  </si>
  <si>
    <t xml:space="preserve">Food insecurity</t>
  </si>
  <si>
    <t xml:space="preserve">Food insecure</t>
  </si>
  <si>
    <t xml:space="preserve">Food secure</t>
  </si>
  <si>
    <t xml:space="preserve">X7 – Food insecurity → Probable depression (PHQ-9 ≥10)</t>
  </si>
  <si>
    <t xml:space="preserve">X8</t>
  </si>
  <si>
    <t xml:space="preserve">Age</t>
  </si>
  <si>
    <t xml:space="preserve">40 years or older</t>
  </si>
  <si>
    <t xml:space="preserve">Under 40 years</t>
  </si>
  <si>
    <t xml:space="preserve">Diabetes</t>
  </si>
  <si>
    <t xml:space="preserve">X8 – Age → Diabetes</t>
  </si>
  <si>
    <t xml:space="preserve">X9</t>
  </si>
  <si>
    <t xml:space="preserve">Physical activity</t>
  </si>
  <si>
    <t xml:space="preserve">Inactive (&lt;600 MET-min/week)</t>
  </si>
  <si>
    <t xml:space="preserve">Active (≥600)</t>
  </si>
  <si>
    <t xml:space="preserve">X9 – Physical activity → Obesity (BMI ≥30)</t>
  </si>
  <si>
    <t xml:space="preserve">X10</t>
  </si>
  <si>
    <t xml:space="preserve">People with hypertension</t>
  </si>
  <si>
    <t xml:space="preserve">Aware of hypertension (hypertension_diagnosed)</t>
  </si>
  <si>
    <t xml:space="preserve">X10 – Residence → Aware of hypertension (hypertension_diagnosed)</t>
  </si>
  <si>
    <t xml:space="preserve">X11</t>
  </si>
  <si>
    <t xml:space="preserve">HIV-positive, on ART, with viral load</t>
  </si>
  <si>
    <t xml:space="preserve">Years on ART</t>
  </si>
  <si>
    <t xml:space="preserve">5 years or more</t>
  </si>
  <si>
    <t xml:space="preserve">Under 5 years</t>
  </si>
  <si>
    <t xml:space="preserve">Viral load suppressed (&lt;1000)</t>
  </si>
  <si>
    <t xml:space="preserve">X11 – Years on ART → Viral load suppressed (&lt;1000)</t>
  </si>
  <si>
    <t xml:space="preserve">C1</t>
  </si>
  <si>
    <t xml:space="preserve">Cohort</t>
  </si>
  <si>
    <t xml:space="preserve">Completed follow-up, no hypertension at baseline</t>
  </si>
  <si>
    <t xml:space="preserve">Incident hypertension</t>
  </si>
  <si>
    <t xml:space="preserve">C1 – Obesity (BMI ≥30) → Incident hypertension</t>
  </si>
  <si>
    <t xml:space="preserve">C2</t>
  </si>
  <si>
    <t xml:space="preserve">C2 – HIV status → Incident hypertension</t>
  </si>
  <si>
    <t xml:space="preserve">C3</t>
  </si>
  <si>
    <t xml:space="preserve">Completed follow-up, PHQ-9 &lt;10 at baseline</t>
  </si>
  <si>
    <t xml:space="preserve">Incident probable depression (PHQ-9 ≥10)</t>
  </si>
  <si>
    <t xml:space="preserve">C3 – HIV status → Incident probable depression (PHQ-9 ≥10)</t>
  </si>
  <si>
    <t xml:space="preserve">C4</t>
  </si>
  <si>
    <t xml:space="preserve">C4 – Hazardous alcohol use (AUDIT-C) → Incident hypertension</t>
  </si>
  <si>
    <t xml:space="preserve">C5</t>
  </si>
  <si>
    <t xml:space="preserve">C5 – Food insecurity → Incident probable depression (PHQ-9 ≥10)</t>
  </si>
  <si>
    <t xml:space="preserve">C6</t>
  </si>
  <si>
    <t xml:space="preserve">Completed follow-up, no diabetes at baseline</t>
  </si>
  <si>
    <t xml:space="preserve">Overweight or obese (BMI ≥25)</t>
  </si>
  <si>
    <t xml:space="preserve">BMI ≥25</t>
  </si>
  <si>
    <t xml:space="preserve">BMI &lt;25</t>
  </si>
  <si>
    <t xml:space="preserve">Incident diabetes</t>
  </si>
  <si>
    <t xml:space="preserve">C6 – Overweight or obese (BMI ≥25) → Incident diabetes</t>
  </si>
  <si>
    <t xml:space="preserve">C7</t>
  </si>
  <si>
    <t xml:space="preserve">Salt added at table</t>
  </si>
  <si>
    <t xml:space="preserve">Often or always</t>
  </si>
  <si>
    <t xml:space="preserve">Never to sometimes</t>
  </si>
  <si>
    <t xml:space="preserve">C7 – Salt added at table → Incident hypertension</t>
  </si>
  <si>
    <t xml:space="preserve">C8</t>
  </si>
  <si>
    <t xml:space="preserve">Lost to follow-up</t>
  </si>
  <si>
    <t xml:space="preserve">C8 – Residence → Lost to follow-up</t>
  </si>
  <si>
    <t xml:space="preserve">2×2 calculator</t>
  </si>
  <si>
    <t xml:space="preserve">Fill in the yellow cells. Everything else is calculated automatically, with the formula shown beside each result.</t>
  </si>
  <si>
    <t xml:space="preserve">Your name</t>
  </si>
  <si>
    <t xml:space="preserve">Choose a table (dropdown)</t>
  </si>
  <si>
    <t xml:space="preserve">Values from your table</t>
  </si>
  <si>
    <t xml:space="preserve">Outcome: yes</t>
  </si>
  <si>
    <t xml:space="preserve">Outcome: no</t>
  </si>
  <si>
    <t xml:space="preserve">Total</t>
  </si>
  <si>
    <t xml:space="preserve">← a (exposed, outcome yes) and b (exposed, outcome no)</t>
  </si>
  <si>
    <t xml:space="preserve">← c (unexposed, outcome yes) and d (unexposed, outcome no)</t>
  </si>
  <si>
    <t xml:space="preserve">Results</t>
  </si>
  <si>
    <t xml:space="preserve">Measure</t>
  </si>
  <si>
    <t xml:space="preserve">Result</t>
  </si>
  <si>
    <t xml:space="preserve">Formula used</t>
  </si>
  <si>
    <t xml:space="preserve">a / (a+b)</t>
  </si>
  <si>
    <t xml:space="preserve">c / (c+d)</t>
  </si>
  <si>
    <t xml:space="preserve">Difference (p1 − p0)</t>
  </si>
  <si>
    <t xml:space="preserve">p1 − p0</t>
  </si>
  <si>
    <t xml:space="preserve">p1 / p0</t>
  </si>
  <si>
    <t xml:space="preserve">SE of ln(ratio)</t>
  </si>
  <si>
    <t xml:space="preserve">√(1/a − 1/(a+b) + 1/c − 1/(c+d))</t>
  </si>
  <si>
    <t xml:space="preserve">Ratio: 95% CI lower</t>
  </si>
  <si>
    <t xml:space="preserve">exp(ln(ratio) − 1.96 × SE)</t>
  </si>
  <si>
    <t xml:space="preserve">Ratio: 95% CI upper</t>
  </si>
  <si>
    <t xml:space="preserve">exp(ln(ratio) + 1.96 × SE)</t>
  </si>
  <si>
    <t xml:space="preserve">Odds ratio</t>
  </si>
  <si>
    <t xml:space="preserve">(a × d) / (b × c)</t>
  </si>
  <si>
    <t xml:space="preserve">SE of ln(OR)</t>
  </si>
  <si>
    <t xml:space="preserve">√(1/a + 1/b + 1/c + 1/d)</t>
  </si>
  <si>
    <t xml:space="preserve">Odds ratio: 95% CI lower</t>
  </si>
  <si>
    <t xml:space="preserve">exp(ln(OR) − 1.96 × SE)</t>
  </si>
  <si>
    <t xml:space="preserve">Odds ratio: 95% CI upper</t>
  </si>
  <si>
    <t xml:space="preserve">exp(ln(OR) + 1.96 × SE)</t>
  </si>
  <si>
    <t xml:space="preserve">Does the ratio's 95% CI include 1?</t>
  </si>
  <si>
    <t xml:space="preserve">a ratio of 1 means no difference</t>
  </si>
  <si>
    <t xml:space="preserve">Summary lines</t>
  </si>
  <si>
    <t xml:space="preserve">Occurrence</t>
  </si>
  <si>
    <t xml:space="preserve">Difference</t>
  </si>
  <si>
    <t xml:space="preserve">Ratio</t>
  </si>
  <si>
    <t xml:space="preserve">Next step</t>
  </si>
  <si>
    <t xml:space="preserve">Go to the "My results" sheet and write your own interpretation in the yellow box below the summary lines.</t>
  </si>
  <si>
    <t xml:space="preserve">Rate calculator (optional, cohort tables only)</t>
  </si>
  <si>
    <t xml:space="preserve">Choose the same C table as on the 2×2 calculator, then type the new cases and person-years from the Data tables sheet.</t>
  </si>
  <si>
    <t xml:space="preserve">Choose a cohort table (dropdown)</t>
  </si>
  <si>
    <t xml:space="preserve">New cases</t>
  </si>
  <si>
    <t xml:space="preserve">Person-years</t>
  </si>
  <si>
    <t xml:space="preserve">← new cases = a; person-years exposed</t>
  </si>
  <si>
    <t xml:space="preserve">← new cases = c; person-years unexposed</t>
  </si>
  <si>
    <t xml:space="preserve">Incidence rate, exposed (per 1,000 person-years)</t>
  </si>
  <si>
    <t xml:space="preserve">cases / person-years × 1,000</t>
  </si>
  <si>
    <t xml:space="preserve">Incidence rate, unexposed (per 1,000 person-years)</t>
  </si>
  <si>
    <t xml:space="preserve">Rate ratio</t>
  </si>
  <si>
    <t xml:space="preserve">rate exposed / rate unexposed</t>
  </si>
  <si>
    <t xml:space="preserve">SE of ln(rate ratio)</t>
  </si>
  <si>
    <t xml:space="preserve">√(1/cases exposed + 1/cases unexposed)</t>
  </si>
  <si>
    <t xml:space="preserve">Rate ratio: 95% CI lower</t>
  </si>
  <si>
    <t xml:space="preserve">exp(ln(rate ratio) − 1.96 × SE)</t>
  </si>
  <si>
    <t xml:space="preserve">Rate ratio: 95% CI upper</t>
  </si>
  <si>
    <t xml:space="preserve">exp(ln(rate ratio) + 1.96 × SE)</t>
  </si>
  <si>
    <t xml:space="preserve">Summary line</t>
  </si>
  <si>
    <t xml:space="preserve">My annex results</t>
  </si>
  <si>
    <t xml:space="preserve">Filled in automatically, except your interpretation (yellow box). Copy this sheet into your annex template, and submit this workbook with your PDF.</t>
  </si>
  <si>
    <t xml:space="preserve">Name</t>
  </si>
  <si>
    <t xml:space="preserve">Table chosen</t>
  </si>
  <si>
    <t xml:space="preserve">Values entered</t>
  </si>
  <si>
    <t xml:space="preserve">95% CI for the ratio</t>
  </si>
  <si>
    <t xml:space="preserve">95% CI for the odds ratio</t>
  </si>
  <si>
    <t xml:space="preserve">My interpretation – type 1–2 sentences in your own words in the yellow box</t>
  </si>
  <si>
    <t xml:space="preserve">Explain what your ratio and its 95% CI mean, as you would to a patient or colleague. Do not copy the summary lines.</t>
  </si>
  <si>
    <t xml:space="preserve">Optional: rate calculator (cohort tables)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</si>
</sst>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@"/>
    <numFmt numFmtId="167" formatCode="#,##0"/>
    <numFmt numFmtId="168" formatCode="0.0%"/>
    <numFmt numFmtId="169" formatCode="0.00"/>
    <numFmt numFmtId="170" formatCode="0.000"/>
    <numFmt numFmtId="171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1C36"/>
      <name val="Arial"/>
      <family val="0"/>
      <charset val="1"/>
    </font>
    <font>
      <sz val="10"/>
      <color rgb="FF667080"/>
      <name val="Arial"/>
      <family val="0"/>
      <charset val="1"/>
    </font>
    <font>
      <b val="true"/>
      <sz val="11"/>
      <color rgb="FF0C1C36"/>
      <name val="Arial"/>
      <family val="0"/>
      <charset val="1"/>
    </font>
    <font>
      <sz val="10"/>
      <color rgb="FF152E56"/>
      <name val="Arial"/>
      <family val="0"/>
      <charset val="1"/>
    </font>
    <font>
      <b val="true"/>
      <sz val="11"/>
      <color rgb="FFD32F2F"/>
      <name val="Arial"/>
      <family val="0"/>
      <charset val="1"/>
    </font>
    <font>
      <b val="true"/>
      <sz val="9"/>
      <color rgb="FF0C1C36"/>
      <name val="Arial"/>
      <family val="0"/>
      <charset val="1"/>
    </font>
    <font>
      <b val="true"/>
      <sz val="9"/>
      <color rgb="FF152E56"/>
      <name val="Arial"/>
      <family val="0"/>
      <charset val="1"/>
    </font>
    <font>
      <sz val="9"/>
      <color rgb="FF152E5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C1C36"/>
      <name val="Arial"/>
      <family val="0"/>
      <charset val="1"/>
    </font>
    <font>
      <b val="true"/>
      <sz val="10"/>
      <color rgb="FF0C1C36"/>
      <name val="Arial"/>
      <family val="0"/>
      <charset val="1"/>
    </font>
    <font>
      <i val="true"/>
      <sz val="9"/>
      <color rgb="FF667080"/>
      <name val="Arial"/>
      <family val="0"/>
      <charset val="1"/>
    </font>
    <font>
      <b val="true"/>
      <sz val="10"/>
      <color rgb="FF152E5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6F8FB"/>
      </patternFill>
    </fill>
    <fill>
      <patternFill patternType="solid">
        <fgColor rgb="FFE8EDF4"/>
        <bgColor rgb="FFF6F8FB"/>
      </patternFill>
    </fill>
    <fill>
      <patternFill patternType="solid">
        <fgColor rgb="FFF6F8FB"/>
        <bgColor rgb="FFE8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 diagonalUp="false" diagonalDown="false">
      <left style="thin">
        <color rgb="FFC9D2DE"/>
      </left>
      <right/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3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2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4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0"/>
      <rgbColor rgb="FF969696"/>
      <rgbColor rgb="FF152E56"/>
      <rgbColor rgb="FF339966"/>
      <rgbColor rgb="FF0C1C36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24"/>
    <col collapsed="false" customWidth="true" hidden="false" outlineLevel="0" max="11" min="8" style="0" width="8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6" min="15" style="0" width="11"/>
    <col collapsed="false" customWidth="true" hidden="false" outlineLevel="0" max="17" min="17" style="0" width="40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6" t="s">
        <v>21</v>
      </c>
    </row>
    <row r="5" customFormat="false" ht="32.8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33</v>
      </c>
      <c r="M5" s="7" t="s">
        <v>34</v>
      </c>
      <c r="N5" s="7" t="s">
        <v>35</v>
      </c>
      <c r="O5" s="7" t="s">
        <v>36</v>
      </c>
      <c r="P5" s="7" t="s">
        <v>37</v>
      </c>
      <c r="Q5" s="7" t="s">
        <v>38</v>
      </c>
    </row>
    <row r="6" customFormat="false" ht="22.35" hidden="false" customHeight="false" outlineLevel="0" collapsed="false">
      <c r="A6" s="8" t="s">
        <v>39</v>
      </c>
      <c r="B6" s="9" t="s">
        <v>40</v>
      </c>
      <c r="C6" s="9" t="s">
        <v>41</v>
      </c>
      <c r="D6" s="9" t="s">
        <v>42</v>
      </c>
      <c r="E6" s="9" t="s">
        <v>43</v>
      </c>
      <c r="F6" s="9" t="s">
        <v>44</v>
      </c>
      <c r="G6" s="9" t="s">
        <v>45</v>
      </c>
      <c r="H6" s="9" t="n">
        <v>86</v>
      </c>
      <c r="I6" s="9" t="n">
        <v>207</v>
      </c>
      <c r="J6" s="9" t="n">
        <v>292</v>
      </c>
      <c r="K6" s="9" t="n">
        <v>1915</v>
      </c>
      <c r="L6" s="9" t="n">
        <f aca="false">H6+I6</f>
        <v>293</v>
      </c>
      <c r="M6" s="9" t="n">
        <f aca="false">J6+K6</f>
        <v>2207</v>
      </c>
      <c r="N6" s="9" t="n">
        <f aca="false">L6+M6</f>
        <v>2500</v>
      </c>
      <c r="O6" s="9" t="s">
        <v>46</v>
      </c>
      <c r="P6" s="9" t="s">
        <v>46</v>
      </c>
      <c r="Q6" s="9" t="s">
        <v>47</v>
      </c>
    </row>
    <row r="7" customFormat="false" ht="15" hidden="false" customHeight="false" outlineLevel="0" collapsed="false">
      <c r="A7" s="8" t="s">
        <v>48</v>
      </c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49</v>
      </c>
      <c r="H7" s="9" t="n">
        <v>72</v>
      </c>
      <c r="I7" s="9" t="n">
        <v>221</v>
      </c>
      <c r="J7" s="9" t="n">
        <v>480</v>
      </c>
      <c r="K7" s="9" t="n">
        <v>1727</v>
      </c>
      <c r="L7" s="9" t="n">
        <f aca="false">H7+I7</f>
        <v>293</v>
      </c>
      <c r="M7" s="9" t="n">
        <f aca="false">J7+K7</f>
        <v>2207</v>
      </c>
      <c r="N7" s="9" t="n">
        <f aca="false">L7+M7</f>
        <v>2500</v>
      </c>
      <c r="O7" s="9" t="s">
        <v>46</v>
      </c>
      <c r="P7" s="9" t="s">
        <v>46</v>
      </c>
      <c r="Q7" s="9" t="s">
        <v>50</v>
      </c>
    </row>
    <row r="8" customFormat="false" ht="15" hidden="false" customHeight="false" outlineLevel="0" collapsed="false">
      <c r="A8" s="8" t="s">
        <v>51</v>
      </c>
      <c r="B8" s="9" t="s">
        <v>40</v>
      </c>
      <c r="C8" s="9" t="s">
        <v>41</v>
      </c>
      <c r="D8" s="9" t="s">
        <v>52</v>
      </c>
      <c r="E8" s="9" t="s">
        <v>53</v>
      </c>
      <c r="F8" s="9" t="s">
        <v>54</v>
      </c>
      <c r="G8" s="9" t="s">
        <v>49</v>
      </c>
      <c r="H8" s="9" t="n">
        <v>169</v>
      </c>
      <c r="I8" s="9" t="n">
        <v>194</v>
      </c>
      <c r="J8" s="9" t="n">
        <v>383</v>
      </c>
      <c r="K8" s="9" t="n">
        <v>1754</v>
      </c>
      <c r="L8" s="9" t="n">
        <f aca="false">H8+I8</f>
        <v>363</v>
      </c>
      <c r="M8" s="9" t="n">
        <f aca="false">J8+K8</f>
        <v>2137</v>
      </c>
      <c r="N8" s="9" t="n">
        <f aca="false">L8+M8</f>
        <v>2500</v>
      </c>
      <c r="O8" s="9" t="s">
        <v>46</v>
      </c>
      <c r="P8" s="9" t="s">
        <v>46</v>
      </c>
      <c r="Q8" s="9" t="s">
        <v>55</v>
      </c>
    </row>
    <row r="9" customFormat="false" ht="15" hidden="false" customHeight="false" outlineLevel="0" collapsed="false">
      <c r="A9" s="8" t="s">
        <v>56</v>
      </c>
      <c r="B9" s="9" t="s">
        <v>40</v>
      </c>
      <c r="C9" s="9" t="s">
        <v>41</v>
      </c>
      <c r="D9" s="9" t="s">
        <v>57</v>
      </c>
      <c r="E9" s="9" t="s">
        <v>58</v>
      </c>
      <c r="F9" s="9" t="s">
        <v>59</v>
      </c>
      <c r="G9" s="9" t="s">
        <v>52</v>
      </c>
      <c r="H9" s="9" t="n">
        <v>236</v>
      </c>
      <c r="I9" s="9" t="n">
        <v>678</v>
      </c>
      <c r="J9" s="9" t="n">
        <v>127</v>
      </c>
      <c r="K9" s="9" t="n">
        <v>1459</v>
      </c>
      <c r="L9" s="9" t="n">
        <f aca="false">H9+I9</f>
        <v>914</v>
      </c>
      <c r="M9" s="9" t="n">
        <f aca="false">J9+K9</f>
        <v>1586</v>
      </c>
      <c r="N9" s="9" t="n">
        <f aca="false">L9+M9</f>
        <v>2500</v>
      </c>
      <c r="O9" s="9" t="s">
        <v>46</v>
      </c>
      <c r="P9" s="9" t="s">
        <v>46</v>
      </c>
      <c r="Q9" s="9" t="s">
        <v>60</v>
      </c>
    </row>
    <row r="10" customFormat="false" ht="15" hidden="false" customHeight="false" outlineLevel="0" collapsed="false">
      <c r="A10" s="8" t="s">
        <v>61</v>
      </c>
      <c r="B10" s="9" t="s">
        <v>40</v>
      </c>
      <c r="C10" s="9" t="s">
        <v>41</v>
      </c>
      <c r="D10" s="9" t="s">
        <v>62</v>
      </c>
      <c r="E10" s="9" t="s">
        <v>63</v>
      </c>
      <c r="F10" s="9" t="s">
        <v>64</v>
      </c>
      <c r="G10" s="9" t="s">
        <v>52</v>
      </c>
      <c r="H10" s="9" t="n">
        <v>287</v>
      </c>
      <c r="I10" s="9" t="n">
        <v>1012</v>
      </c>
      <c r="J10" s="9" t="n">
        <v>76</v>
      </c>
      <c r="K10" s="9" t="n">
        <v>1125</v>
      </c>
      <c r="L10" s="9" t="n">
        <f aca="false">H10+I10</f>
        <v>1299</v>
      </c>
      <c r="M10" s="9" t="n">
        <f aca="false">J10+K10</f>
        <v>1201</v>
      </c>
      <c r="N10" s="9" t="n">
        <f aca="false">L10+M10</f>
        <v>2500</v>
      </c>
      <c r="O10" s="9" t="s">
        <v>46</v>
      </c>
      <c r="P10" s="9" t="s">
        <v>46</v>
      </c>
      <c r="Q10" s="9" t="s">
        <v>65</v>
      </c>
    </row>
    <row r="11" customFormat="false" ht="22.35" hidden="false" customHeight="false" outlineLevel="0" collapsed="false">
      <c r="A11" s="8" t="s">
        <v>66</v>
      </c>
      <c r="B11" s="9" t="s">
        <v>40</v>
      </c>
      <c r="C11" s="9" t="s">
        <v>41</v>
      </c>
      <c r="D11" s="9" t="s">
        <v>67</v>
      </c>
      <c r="E11" s="9" t="s">
        <v>68</v>
      </c>
      <c r="F11" s="9" t="s">
        <v>69</v>
      </c>
      <c r="G11" s="9" t="s">
        <v>49</v>
      </c>
      <c r="H11" s="9" t="n">
        <v>92</v>
      </c>
      <c r="I11" s="9" t="n">
        <v>282</v>
      </c>
      <c r="J11" s="9" t="n">
        <v>460</v>
      </c>
      <c r="K11" s="9" t="n">
        <v>1666</v>
      </c>
      <c r="L11" s="9" t="n">
        <f aca="false">H11+I11</f>
        <v>374</v>
      </c>
      <c r="M11" s="9" t="n">
        <f aca="false">J11+K11</f>
        <v>2126</v>
      </c>
      <c r="N11" s="9" t="n">
        <f aca="false">L11+M11</f>
        <v>2500</v>
      </c>
      <c r="O11" s="9" t="s">
        <v>46</v>
      </c>
      <c r="P11" s="9" t="s">
        <v>46</v>
      </c>
      <c r="Q11" s="9" t="s">
        <v>70</v>
      </c>
    </row>
    <row r="12" customFormat="false" ht="22.35" hidden="false" customHeight="false" outlineLevel="0" collapsed="false">
      <c r="A12" s="8" t="s">
        <v>71</v>
      </c>
      <c r="B12" s="9" t="s">
        <v>40</v>
      </c>
      <c r="C12" s="9" t="s">
        <v>41</v>
      </c>
      <c r="D12" s="9" t="s">
        <v>72</v>
      </c>
      <c r="E12" s="9" t="s">
        <v>73</v>
      </c>
      <c r="F12" s="9" t="s">
        <v>74</v>
      </c>
      <c r="G12" s="9" t="s">
        <v>45</v>
      </c>
      <c r="H12" s="9" t="n">
        <v>158</v>
      </c>
      <c r="I12" s="9" t="n">
        <v>588</v>
      </c>
      <c r="J12" s="9" t="n">
        <v>220</v>
      </c>
      <c r="K12" s="9" t="n">
        <v>1534</v>
      </c>
      <c r="L12" s="9" t="n">
        <f aca="false">H12+I12</f>
        <v>746</v>
      </c>
      <c r="M12" s="9" t="n">
        <f aca="false">J12+K12</f>
        <v>1754</v>
      </c>
      <c r="N12" s="9" t="n">
        <f aca="false">L12+M12</f>
        <v>2500</v>
      </c>
      <c r="O12" s="9" t="s">
        <v>46</v>
      </c>
      <c r="P12" s="9" t="s">
        <v>46</v>
      </c>
      <c r="Q12" s="9" t="s">
        <v>75</v>
      </c>
    </row>
    <row r="13" customFormat="false" ht="15" hidden="false" customHeight="false" outlineLevel="0" collapsed="false">
      <c r="A13" s="8" t="s">
        <v>76</v>
      </c>
      <c r="B13" s="9" t="s">
        <v>40</v>
      </c>
      <c r="C13" s="9" t="s">
        <v>41</v>
      </c>
      <c r="D13" s="9" t="s">
        <v>77</v>
      </c>
      <c r="E13" s="9" t="s">
        <v>78</v>
      </c>
      <c r="F13" s="9" t="s">
        <v>79</v>
      </c>
      <c r="G13" s="9" t="s">
        <v>80</v>
      </c>
      <c r="H13" s="9" t="n">
        <v>134</v>
      </c>
      <c r="I13" s="9" t="n">
        <v>555</v>
      </c>
      <c r="J13" s="9" t="n">
        <v>74</v>
      </c>
      <c r="K13" s="9" t="n">
        <v>1594</v>
      </c>
      <c r="L13" s="9" t="n">
        <f aca="false">H13+I13</f>
        <v>689</v>
      </c>
      <c r="M13" s="9" t="n">
        <f aca="false">J13+K13</f>
        <v>1668</v>
      </c>
      <c r="N13" s="9" t="n">
        <f aca="false">L13+M13</f>
        <v>2357</v>
      </c>
      <c r="O13" s="9" t="s">
        <v>46</v>
      </c>
      <c r="P13" s="9" t="s">
        <v>46</v>
      </c>
      <c r="Q13" s="9" t="s">
        <v>81</v>
      </c>
    </row>
    <row r="14" customFormat="false" ht="22.35" hidden="false" customHeight="false" outlineLevel="0" collapsed="false">
      <c r="A14" s="8" t="s">
        <v>82</v>
      </c>
      <c r="B14" s="9" t="s">
        <v>40</v>
      </c>
      <c r="C14" s="9" t="s">
        <v>41</v>
      </c>
      <c r="D14" s="9" t="s">
        <v>83</v>
      </c>
      <c r="E14" s="9" t="s">
        <v>84</v>
      </c>
      <c r="F14" s="9" t="s">
        <v>85</v>
      </c>
      <c r="G14" s="9" t="s">
        <v>52</v>
      </c>
      <c r="H14" s="9" t="n">
        <v>116</v>
      </c>
      <c r="I14" s="9" t="n">
        <v>280</v>
      </c>
      <c r="J14" s="9" t="n">
        <v>240</v>
      </c>
      <c r="K14" s="9" t="n">
        <v>1822</v>
      </c>
      <c r="L14" s="9" t="n">
        <f aca="false">H14+I14</f>
        <v>396</v>
      </c>
      <c r="M14" s="9" t="n">
        <f aca="false">J14+K14</f>
        <v>2062</v>
      </c>
      <c r="N14" s="9" t="n">
        <f aca="false">L14+M14</f>
        <v>2458</v>
      </c>
      <c r="O14" s="9" t="s">
        <v>46</v>
      </c>
      <c r="P14" s="9" t="s">
        <v>46</v>
      </c>
      <c r="Q14" s="9" t="s">
        <v>86</v>
      </c>
    </row>
    <row r="15" customFormat="false" ht="22.35" hidden="false" customHeight="false" outlineLevel="0" collapsed="false">
      <c r="A15" s="8" t="s">
        <v>87</v>
      </c>
      <c r="B15" s="9" t="s">
        <v>40</v>
      </c>
      <c r="C15" s="9" t="s">
        <v>88</v>
      </c>
      <c r="D15" s="9" t="s">
        <v>57</v>
      </c>
      <c r="E15" s="9" t="s">
        <v>58</v>
      </c>
      <c r="F15" s="9" t="s">
        <v>59</v>
      </c>
      <c r="G15" s="9" t="s">
        <v>89</v>
      </c>
      <c r="H15" s="9" t="n">
        <v>101</v>
      </c>
      <c r="I15" s="9" t="n">
        <v>132</v>
      </c>
      <c r="J15" s="9" t="n">
        <v>137</v>
      </c>
      <c r="K15" s="9" t="n">
        <v>182</v>
      </c>
      <c r="L15" s="9" t="n">
        <f aca="false">H15+I15</f>
        <v>233</v>
      </c>
      <c r="M15" s="9" t="n">
        <f aca="false">J15+K15</f>
        <v>319</v>
      </c>
      <c r="N15" s="9" t="n">
        <f aca="false">L15+M15</f>
        <v>552</v>
      </c>
      <c r="O15" s="9" t="s">
        <v>46</v>
      </c>
      <c r="P15" s="9" t="s">
        <v>46</v>
      </c>
      <c r="Q15" s="9" t="s">
        <v>90</v>
      </c>
    </row>
    <row r="16" customFormat="false" ht="22.35" hidden="false" customHeight="false" outlineLevel="0" collapsed="false">
      <c r="A16" s="8" t="s">
        <v>91</v>
      </c>
      <c r="B16" s="9" t="s">
        <v>40</v>
      </c>
      <c r="C16" s="9" t="s">
        <v>92</v>
      </c>
      <c r="D16" s="9" t="s">
        <v>93</v>
      </c>
      <c r="E16" s="9" t="s">
        <v>94</v>
      </c>
      <c r="F16" s="9" t="s">
        <v>95</v>
      </c>
      <c r="G16" s="9" t="s">
        <v>96</v>
      </c>
      <c r="H16" s="9" t="n">
        <v>132</v>
      </c>
      <c r="I16" s="9" t="n">
        <v>15</v>
      </c>
      <c r="J16" s="9" t="n">
        <v>73</v>
      </c>
      <c r="K16" s="9" t="n">
        <v>6</v>
      </c>
      <c r="L16" s="9" t="n">
        <f aca="false">H16+I16</f>
        <v>147</v>
      </c>
      <c r="M16" s="9" t="n">
        <f aca="false">J16+K16</f>
        <v>79</v>
      </c>
      <c r="N16" s="9" t="n">
        <f aca="false">L16+M16</f>
        <v>226</v>
      </c>
      <c r="O16" s="9" t="s">
        <v>46</v>
      </c>
      <c r="P16" s="9" t="s">
        <v>46</v>
      </c>
      <c r="Q16" s="9" t="s">
        <v>97</v>
      </c>
    </row>
    <row r="17" customFormat="false" ht="22.35" hidden="false" customHeight="false" outlineLevel="0" collapsed="false">
      <c r="A17" s="8" t="s">
        <v>98</v>
      </c>
      <c r="B17" s="9" t="s">
        <v>99</v>
      </c>
      <c r="C17" s="9" t="s">
        <v>100</v>
      </c>
      <c r="D17" s="9" t="s">
        <v>52</v>
      </c>
      <c r="E17" s="9" t="s">
        <v>53</v>
      </c>
      <c r="F17" s="9" t="s">
        <v>54</v>
      </c>
      <c r="G17" s="9" t="s">
        <v>101</v>
      </c>
      <c r="H17" s="9" t="n">
        <v>33</v>
      </c>
      <c r="I17" s="9" t="n">
        <v>146</v>
      </c>
      <c r="J17" s="9" t="n">
        <v>107</v>
      </c>
      <c r="K17" s="9" t="n">
        <v>1486</v>
      </c>
      <c r="L17" s="9" t="n">
        <f aca="false">H17+I17</f>
        <v>179</v>
      </c>
      <c r="M17" s="9" t="n">
        <f aca="false">J17+K17</f>
        <v>1593</v>
      </c>
      <c r="N17" s="9" t="n">
        <f aca="false">L17+M17</f>
        <v>1772</v>
      </c>
      <c r="O17" s="10" t="n">
        <v>158.5</v>
      </c>
      <c r="P17" s="10" t="n">
        <v>1419.7</v>
      </c>
      <c r="Q17" s="9" t="s">
        <v>102</v>
      </c>
    </row>
    <row r="18" customFormat="false" ht="22.35" hidden="false" customHeight="false" outlineLevel="0" collapsed="false">
      <c r="A18" s="8" t="s">
        <v>103</v>
      </c>
      <c r="B18" s="9" t="s">
        <v>99</v>
      </c>
      <c r="C18" s="9" t="s">
        <v>100</v>
      </c>
      <c r="D18" s="9" t="s">
        <v>42</v>
      </c>
      <c r="E18" s="9" t="s">
        <v>43</v>
      </c>
      <c r="F18" s="9" t="s">
        <v>44</v>
      </c>
      <c r="G18" s="9" t="s">
        <v>101</v>
      </c>
      <c r="H18" s="9" t="n">
        <v>26</v>
      </c>
      <c r="I18" s="9" t="n">
        <v>178</v>
      </c>
      <c r="J18" s="9" t="n">
        <v>114</v>
      </c>
      <c r="K18" s="9" t="n">
        <v>1454</v>
      </c>
      <c r="L18" s="9" t="n">
        <f aca="false">H18+I18</f>
        <v>204</v>
      </c>
      <c r="M18" s="9" t="n">
        <f aca="false">J18+K18</f>
        <v>1568</v>
      </c>
      <c r="N18" s="9" t="n">
        <f aca="false">L18+M18</f>
        <v>1772</v>
      </c>
      <c r="O18" s="10" t="n">
        <v>183.8</v>
      </c>
      <c r="P18" s="10" t="n">
        <v>1394.5</v>
      </c>
      <c r="Q18" s="9" t="s">
        <v>104</v>
      </c>
    </row>
    <row r="19" customFormat="false" ht="22.35" hidden="false" customHeight="false" outlineLevel="0" collapsed="false">
      <c r="A19" s="8" t="s">
        <v>105</v>
      </c>
      <c r="B19" s="9" t="s">
        <v>99</v>
      </c>
      <c r="C19" s="9" t="s">
        <v>106</v>
      </c>
      <c r="D19" s="9" t="s">
        <v>42</v>
      </c>
      <c r="E19" s="9" t="s">
        <v>43</v>
      </c>
      <c r="F19" s="9" t="s">
        <v>44</v>
      </c>
      <c r="G19" s="9" t="s">
        <v>107</v>
      </c>
      <c r="H19" s="9" t="n">
        <v>36</v>
      </c>
      <c r="I19" s="9" t="n">
        <v>157</v>
      </c>
      <c r="J19" s="9" t="n">
        <v>96</v>
      </c>
      <c r="K19" s="9" t="n">
        <v>1641</v>
      </c>
      <c r="L19" s="9" t="n">
        <f aca="false">H19+I19</f>
        <v>193</v>
      </c>
      <c r="M19" s="9" t="n">
        <f aca="false">J19+K19</f>
        <v>1737</v>
      </c>
      <c r="N19" s="9" t="n">
        <f aca="false">L19+M19</f>
        <v>1930</v>
      </c>
      <c r="O19" s="10" t="n">
        <v>171.7</v>
      </c>
      <c r="P19" s="10" t="n">
        <v>1546</v>
      </c>
      <c r="Q19" s="9" t="s">
        <v>108</v>
      </c>
    </row>
    <row r="20" customFormat="false" ht="22.35" hidden="false" customHeight="false" outlineLevel="0" collapsed="false">
      <c r="A20" s="8" t="s">
        <v>109</v>
      </c>
      <c r="B20" s="9" t="s">
        <v>99</v>
      </c>
      <c r="C20" s="9" t="s">
        <v>100</v>
      </c>
      <c r="D20" s="9" t="s">
        <v>67</v>
      </c>
      <c r="E20" s="9" t="s">
        <v>68</v>
      </c>
      <c r="F20" s="9" t="s">
        <v>69</v>
      </c>
      <c r="G20" s="9" t="s">
        <v>101</v>
      </c>
      <c r="H20" s="9" t="n">
        <v>24</v>
      </c>
      <c r="I20" s="9" t="n">
        <v>229</v>
      </c>
      <c r="J20" s="9" t="n">
        <v>116</v>
      </c>
      <c r="K20" s="9" t="n">
        <v>1403</v>
      </c>
      <c r="L20" s="9" t="n">
        <f aca="false">H20+I20</f>
        <v>253</v>
      </c>
      <c r="M20" s="9" t="n">
        <f aca="false">J20+K20</f>
        <v>1519</v>
      </c>
      <c r="N20" s="9" t="n">
        <f aca="false">L20+M20</f>
        <v>1772</v>
      </c>
      <c r="O20" s="10" t="n">
        <v>225.6</v>
      </c>
      <c r="P20" s="10" t="n">
        <v>1352.6</v>
      </c>
      <c r="Q20" s="9" t="s">
        <v>110</v>
      </c>
    </row>
    <row r="21" customFormat="false" ht="22.35" hidden="false" customHeight="false" outlineLevel="0" collapsed="false">
      <c r="A21" s="8" t="s">
        <v>111</v>
      </c>
      <c r="B21" s="9" t="s">
        <v>99</v>
      </c>
      <c r="C21" s="9" t="s">
        <v>106</v>
      </c>
      <c r="D21" s="9" t="s">
        <v>72</v>
      </c>
      <c r="E21" s="9" t="s">
        <v>73</v>
      </c>
      <c r="F21" s="9" t="s">
        <v>74</v>
      </c>
      <c r="G21" s="9" t="s">
        <v>107</v>
      </c>
      <c r="H21" s="9" t="n">
        <v>69</v>
      </c>
      <c r="I21" s="9" t="n">
        <v>463</v>
      </c>
      <c r="J21" s="9" t="n">
        <v>63</v>
      </c>
      <c r="K21" s="9" t="n">
        <v>1335</v>
      </c>
      <c r="L21" s="9" t="n">
        <f aca="false">H21+I21</f>
        <v>532</v>
      </c>
      <c r="M21" s="9" t="n">
        <f aca="false">J21+K21</f>
        <v>1398</v>
      </c>
      <c r="N21" s="9" t="n">
        <f aca="false">L21+M21</f>
        <v>1930</v>
      </c>
      <c r="O21" s="10" t="n">
        <v>471.1</v>
      </c>
      <c r="P21" s="10" t="n">
        <v>1246.6</v>
      </c>
      <c r="Q21" s="9" t="s">
        <v>112</v>
      </c>
    </row>
    <row r="22" customFormat="false" ht="22.35" hidden="false" customHeight="false" outlineLevel="0" collapsed="false">
      <c r="A22" s="8" t="s">
        <v>113</v>
      </c>
      <c r="B22" s="9" t="s">
        <v>99</v>
      </c>
      <c r="C22" s="9" t="s">
        <v>114</v>
      </c>
      <c r="D22" s="9" t="s">
        <v>115</v>
      </c>
      <c r="E22" s="9" t="s">
        <v>116</v>
      </c>
      <c r="F22" s="9" t="s">
        <v>117</v>
      </c>
      <c r="G22" s="9" t="s">
        <v>118</v>
      </c>
      <c r="H22" s="9" t="n">
        <v>51</v>
      </c>
      <c r="I22" s="9" t="n">
        <v>763</v>
      </c>
      <c r="J22" s="9" t="n">
        <v>11</v>
      </c>
      <c r="K22" s="9" t="n">
        <v>1048</v>
      </c>
      <c r="L22" s="9" t="n">
        <f aca="false">H22+I22</f>
        <v>814</v>
      </c>
      <c r="M22" s="9" t="n">
        <f aca="false">J22+K22</f>
        <v>1059</v>
      </c>
      <c r="N22" s="9" t="n">
        <f aca="false">L22+M22</f>
        <v>1873</v>
      </c>
      <c r="O22" s="10" t="n">
        <v>725.1</v>
      </c>
      <c r="P22" s="10" t="n">
        <v>946.2</v>
      </c>
      <c r="Q22" s="9" t="s">
        <v>119</v>
      </c>
    </row>
    <row r="23" customFormat="false" ht="22.35" hidden="false" customHeight="false" outlineLevel="0" collapsed="false">
      <c r="A23" s="8" t="s">
        <v>120</v>
      </c>
      <c r="B23" s="9" t="s">
        <v>99</v>
      </c>
      <c r="C23" s="9" t="s">
        <v>100</v>
      </c>
      <c r="D23" s="9" t="s">
        <v>121</v>
      </c>
      <c r="E23" s="9" t="s">
        <v>122</v>
      </c>
      <c r="F23" s="9" t="s">
        <v>123</v>
      </c>
      <c r="G23" s="9" t="s">
        <v>101</v>
      </c>
      <c r="H23" s="9" t="n">
        <v>36</v>
      </c>
      <c r="I23" s="9" t="n">
        <v>336</v>
      </c>
      <c r="J23" s="9" t="n">
        <v>104</v>
      </c>
      <c r="K23" s="9" t="n">
        <v>1296</v>
      </c>
      <c r="L23" s="9" t="n">
        <f aca="false">H23+I23</f>
        <v>372</v>
      </c>
      <c r="M23" s="9" t="n">
        <f aca="false">J23+K23</f>
        <v>1400</v>
      </c>
      <c r="N23" s="9" t="n">
        <f aca="false">L23+M23</f>
        <v>1772</v>
      </c>
      <c r="O23" s="10" t="n">
        <v>333.8</v>
      </c>
      <c r="P23" s="10" t="n">
        <v>1244.5</v>
      </c>
      <c r="Q23" s="9" t="s">
        <v>124</v>
      </c>
    </row>
    <row r="24" customFormat="false" ht="15" hidden="false" customHeight="false" outlineLevel="0" collapsed="false">
      <c r="A24" s="8" t="s">
        <v>125</v>
      </c>
      <c r="B24" s="9" t="s">
        <v>99</v>
      </c>
      <c r="C24" s="9" t="s">
        <v>41</v>
      </c>
      <c r="D24" s="9" t="s">
        <v>57</v>
      </c>
      <c r="E24" s="9" t="s">
        <v>58</v>
      </c>
      <c r="F24" s="9" t="s">
        <v>59</v>
      </c>
      <c r="G24" s="9" t="s">
        <v>126</v>
      </c>
      <c r="H24" s="9" t="n">
        <v>84</v>
      </c>
      <c r="I24" s="9" t="n">
        <v>830</v>
      </c>
      <c r="J24" s="9" t="n">
        <v>134</v>
      </c>
      <c r="K24" s="9" t="n">
        <v>1452</v>
      </c>
      <c r="L24" s="9" t="n">
        <f aca="false">H24+I24</f>
        <v>914</v>
      </c>
      <c r="M24" s="9" t="n">
        <f aca="false">J24+K24</f>
        <v>1586</v>
      </c>
      <c r="N24" s="9" t="n">
        <f aca="false">L24+M24</f>
        <v>2500</v>
      </c>
      <c r="O24" s="9" t="s">
        <v>46</v>
      </c>
      <c r="P24" s="9" t="s">
        <v>46</v>
      </c>
      <c r="Q24" s="9" t="s">
        <v>127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true" outlineLevel="0" max="8" min="8" style="0" width="13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11" t="s">
        <v>130</v>
      </c>
      <c r="B4" s="12"/>
      <c r="C4" s="12"/>
      <c r="D4" s="12"/>
    </row>
    <row r="5" customFormat="false" ht="15" hidden="false" customHeight="false" outlineLevel="0" collapsed="false">
      <c r="A5" s="11" t="s">
        <v>131</v>
      </c>
      <c r="B5" s="12"/>
      <c r="C5" s="12"/>
      <c r="D5" s="12"/>
      <c r="H5" s="0" t="str">
        <f aca="false">IFERROR(MATCH(B5,'Data tables'!$Q$6:$Q$24,0),"")</f>
        <v/>
      </c>
    </row>
    <row r="6" customFormat="false" ht="27" hidden="false" customHeight="true" outlineLevel="0" collapsed="false">
      <c r="A6" s="11" t="s">
        <v>23</v>
      </c>
      <c r="B6" s="13" t="str">
        <f aca="false">IFERROR(INDEX('Data tables'!$B$6:$B$24,$H$5),"")</f>
        <v/>
      </c>
      <c r="C6" s="13"/>
      <c r="D6" s="13"/>
    </row>
    <row r="7" customFormat="false" ht="27" hidden="false" customHeight="true" outlineLevel="0" collapsed="false">
      <c r="A7" s="11" t="s">
        <v>24</v>
      </c>
      <c r="B7" s="13" t="str">
        <f aca="false">IFERROR(INDEX('Data tables'!$C$6:$C$24,$H$5),"")</f>
        <v/>
      </c>
      <c r="C7" s="13"/>
      <c r="D7" s="13"/>
    </row>
    <row r="8" customFormat="false" ht="27" hidden="false" customHeight="true" outlineLevel="0" collapsed="false">
      <c r="A8" s="11" t="s">
        <v>25</v>
      </c>
      <c r="B8" s="13" t="str">
        <f aca="false">IFERROR(INDEX('Data tables'!$D$6:$D$24,$H$5),"")</f>
        <v/>
      </c>
      <c r="C8" s="13"/>
      <c r="D8" s="13"/>
    </row>
    <row r="9" customFormat="false" ht="27" hidden="false" customHeight="true" outlineLevel="0" collapsed="false">
      <c r="A9" s="11" t="s">
        <v>28</v>
      </c>
      <c r="B9" s="13" t="str">
        <f aca="false">IFERROR(INDEX('Data tables'!$G$6:$G$24,$H$5),"")</f>
        <v/>
      </c>
      <c r="C9" s="13"/>
      <c r="D9" s="13"/>
    </row>
    <row r="11" customFormat="false" ht="15" hidden="false" customHeight="false" outlineLevel="0" collapsed="false">
      <c r="A11" s="14" t="s">
        <v>132</v>
      </c>
      <c r="B11" s="14" t="s">
        <v>133</v>
      </c>
      <c r="C11" s="14" t="s">
        <v>134</v>
      </c>
      <c r="D11" s="14" t="s">
        <v>135</v>
      </c>
    </row>
    <row r="12" customFormat="false" ht="15" hidden="false" customHeight="false" outlineLevel="0" collapsed="false">
      <c r="A12" s="11" t="str">
        <f aca="false">"Exposed: "&amp;IFERROR(INDEX('Data tables'!$E$6:$E$24,$H$5),"")</f>
        <v>Exposed: </v>
      </c>
      <c r="B12" s="15"/>
      <c r="C12" s="15"/>
      <c r="D12" s="16" t="str">
        <f aca="false">IF(COUNT(B12:C12)=2,B12+C12,"")</f>
        <v/>
      </c>
      <c r="E12" s="17" t="s">
        <v>136</v>
      </c>
    </row>
    <row r="13" customFormat="false" ht="15" hidden="false" customHeight="false" outlineLevel="0" collapsed="false">
      <c r="A13" s="11" t="str">
        <f aca="false">"Unexposed: "&amp;IFERROR(INDEX('Data tables'!$F$6:$F$24,$H$5),"")</f>
        <v>Unexposed: </v>
      </c>
      <c r="B13" s="15"/>
      <c r="C13" s="15"/>
      <c r="D13" s="16" t="str">
        <f aca="false">IF(COUNT(B13:C13)=2,B13+C13,"")</f>
        <v/>
      </c>
      <c r="E13" s="17" t="s">
        <v>137</v>
      </c>
    </row>
    <row r="14" customFormat="false" ht="15" hidden="false" customHeight="false" outlineLevel="0" collapsed="false">
      <c r="A14" s="18" t="s">
        <v>135</v>
      </c>
      <c r="B14" s="16" t="str">
        <f aca="false">IF(COUNT(B12:B13)=2,B12+B13,"")</f>
        <v/>
      </c>
      <c r="C14" s="16" t="str">
        <f aca="false">IF(COUNT(C12:C13)=2,C12+C13,"")</f>
        <v/>
      </c>
      <c r="D14" s="19" t="str">
        <f aca="false">IF(COUNT(D12:D13)=2,D12+D13,"")</f>
        <v/>
      </c>
    </row>
    <row r="16" customFormat="false" ht="15" hidden="false" customHeight="false" outlineLevel="0" collapsed="false">
      <c r="A16" s="6" t="s">
        <v>138</v>
      </c>
    </row>
    <row r="17" customFormat="false" ht="15" hidden="false" customHeight="false" outlineLevel="0" collapsed="false">
      <c r="A17" s="14" t="s">
        <v>139</v>
      </c>
      <c r="B17" s="14" t="s">
        <v>140</v>
      </c>
      <c r="C17" s="14" t="s">
        <v>141</v>
      </c>
    </row>
    <row r="18" customFormat="false" ht="15" hidden="false" customHeight="false" outlineLevel="0" collapsed="false">
      <c r="A18" s="11" t="str">
        <f aca="false">IF(LEFT($B$6,6)="Cohort","Risk","Prevalence")&amp;" in exposed (p1)"</f>
        <v>Prevalence in exposed (p1)</v>
      </c>
      <c r="B18" s="20" t="str">
        <f aca="false">IFERROR(B12/D12,"")</f>
        <v/>
      </c>
      <c r="C18" s="21" t="s">
        <v>142</v>
      </c>
    </row>
    <row r="19" customFormat="false" ht="15" hidden="false" customHeight="false" outlineLevel="0" collapsed="false">
      <c r="A19" s="11" t="str">
        <f aca="false">IF(LEFT($B$6,6)="Cohort","Risk","Prevalence")&amp;" in unexposed (p0)"</f>
        <v>Prevalence in unexposed (p0)</v>
      </c>
      <c r="B19" s="20" t="str">
        <f aca="false">IFERROR(B13/D13,"")</f>
        <v/>
      </c>
      <c r="C19" s="21" t="s">
        <v>143</v>
      </c>
    </row>
    <row r="20" customFormat="false" ht="15" hidden="false" customHeight="false" outlineLevel="0" collapsed="false">
      <c r="A20" s="11" t="s">
        <v>144</v>
      </c>
      <c r="B20" s="20" t="str">
        <f aca="false">IFERROR(B18-B19,"")</f>
        <v/>
      </c>
      <c r="C20" s="21" t="s">
        <v>145</v>
      </c>
    </row>
    <row r="21" customFormat="false" ht="15" hidden="false" customHeight="false" outlineLevel="0" collapsed="false">
      <c r="A21" s="11" t="str">
        <f aca="false">IF(LEFT($B$6,6)="Cohort","Risk ratio","Prevalence ratio")</f>
        <v>Prevalence ratio</v>
      </c>
      <c r="B21" s="22" t="str">
        <f aca="false">IFERROR(B18/B19,"")</f>
        <v/>
      </c>
      <c r="C21" s="21" t="s">
        <v>146</v>
      </c>
    </row>
    <row r="22" customFormat="false" ht="15" hidden="false" customHeight="false" outlineLevel="0" collapsed="false">
      <c r="A22" s="11" t="s">
        <v>147</v>
      </c>
      <c r="B22" s="23" t="str">
        <f aca="false">IFERROR(SQRT(1/B12-1/D12+1/B13-1/D13),"")</f>
        <v/>
      </c>
      <c r="C22" s="21" t="s">
        <v>148</v>
      </c>
    </row>
    <row r="23" customFormat="false" ht="15" hidden="false" customHeight="false" outlineLevel="0" collapsed="false">
      <c r="A23" s="11" t="s">
        <v>149</v>
      </c>
      <c r="B23" s="24" t="str">
        <f aca="false">IFERROR(EXP(LN(B21)-1.96*B22),"")</f>
        <v/>
      </c>
      <c r="C23" s="21" t="s">
        <v>150</v>
      </c>
    </row>
    <row r="24" customFormat="false" ht="15" hidden="false" customHeight="false" outlineLevel="0" collapsed="false">
      <c r="A24" s="11" t="s">
        <v>151</v>
      </c>
      <c r="B24" s="24" t="str">
        <f aca="false">IFERROR(EXP(LN(B21)+1.96*B22),"")</f>
        <v/>
      </c>
      <c r="C24" s="21" t="s">
        <v>152</v>
      </c>
    </row>
    <row r="25" customFormat="false" ht="15" hidden="false" customHeight="false" outlineLevel="0" collapsed="false">
      <c r="A25" s="11" t="s">
        <v>153</v>
      </c>
      <c r="B25" s="22" t="str">
        <f aca="false">IFERROR((B12*C13)/(C12*B13),"")</f>
        <v/>
      </c>
      <c r="C25" s="21" t="s">
        <v>154</v>
      </c>
    </row>
    <row r="26" customFormat="false" ht="15" hidden="false" customHeight="false" outlineLevel="0" collapsed="false">
      <c r="A26" s="11" t="s">
        <v>155</v>
      </c>
      <c r="B26" s="23" t="str">
        <f aca="false">IFERROR(SQRT(1/B12+1/C12+1/B13+1/C13),"")</f>
        <v/>
      </c>
      <c r="C26" s="21" t="s">
        <v>156</v>
      </c>
    </row>
    <row r="27" customFormat="false" ht="15" hidden="false" customHeight="false" outlineLevel="0" collapsed="false">
      <c r="A27" s="11" t="s">
        <v>157</v>
      </c>
      <c r="B27" s="24" t="str">
        <f aca="false">IFERROR(EXP(LN(B25)-1.96*B26),"")</f>
        <v/>
      </c>
      <c r="C27" s="21" t="s">
        <v>158</v>
      </c>
    </row>
    <row r="28" customFormat="false" ht="15" hidden="false" customHeight="false" outlineLevel="0" collapsed="false">
      <c r="A28" s="11" t="s">
        <v>159</v>
      </c>
      <c r="B28" s="24" t="str">
        <f aca="false">IFERROR(EXP(LN(B25)+1.96*B26),"")</f>
        <v/>
      </c>
      <c r="C28" s="21" t="s">
        <v>160</v>
      </c>
    </row>
    <row r="29" customFormat="false" ht="15" hidden="false" customHeight="false" outlineLevel="0" collapsed="false">
      <c r="A29" s="11" t="s">
        <v>161</v>
      </c>
      <c r="B29" s="13" t="str">
        <f aca="false">IF(B23="","",IF(AND(B23&lt;=1,B24&gt;=1),"Yes: no clear evidence of a difference","No: evidence of a difference"))</f>
        <v/>
      </c>
      <c r="C29" s="21" t="s">
        <v>162</v>
      </c>
    </row>
    <row r="31" customFormat="false" ht="15" hidden="false" customHeight="false" outlineLevel="0" collapsed="false">
      <c r="A31" s="6" t="s">
        <v>163</v>
      </c>
    </row>
    <row r="32" customFormat="false" ht="27" hidden="false" customHeight="true" outlineLevel="0" collapsed="false">
      <c r="A32" s="11" t="s">
        <v>164</v>
      </c>
      <c r="B32" s="25" t="str">
        <f aca="false">IF(B18="","",IF(LEFT($B$6,6)="Cohort","Risk","Prevalence")&amp;": exposed "&amp;TEXT(B18,"0.0%")&amp;" ("&amp;B12&amp;"/"&amp;D12&amp;"); unexposed "&amp;TEXT(B19,"0.0%")&amp;" ("&amp;B13&amp;"/"&amp;D13&amp;")")</f>
        <v/>
      </c>
      <c r="C32" s="25"/>
      <c r="D32" s="25"/>
    </row>
    <row r="33" customFormat="false" ht="27" hidden="false" customHeight="true" outlineLevel="0" collapsed="false">
      <c r="A33" s="11" t="s">
        <v>165</v>
      </c>
      <c r="B33" s="25" t="str">
        <f aca="false">IF(B20="","","Difference: "&amp;TEXT(B20*100,"0.0")&amp;" percentage points")</f>
        <v/>
      </c>
      <c r="C33" s="25"/>
      <c r="D33" s="25"/>
    </row>
    <row r="34" customFormat="false" ht="27" hidden="false" customHeight="true" outlineLevel="0" collapsed="false">
      <c r="A34" s="11" t="s">
        <v>166</v>
      </c>
      <c r="B34" s="25" t="str">
        <f aca="false">IF(B21="","",IF(LEFT($B$6,6)="Cohort","Risk ratio ","Prevalence ratio ")&amp;TEXT(B21,"0.00")&amp;" (95% CI "&amp;TEXT(B23,"0.00")&amp;" to "&amp;TEXT(B24,"0.00")&amp;")")</f>
        <v/>
      </c>
      <c r="C34" s="25"/>
      <c r="D34" s="25"/>
    </row>
    <row r="35" customFormat="false" ht="27" hidden="false" customHeight="true" outlineLevel="0" collapsed="false">
      <c r="A35" s="11" t="s">
        <v>153</v>
      </c>
      <c r="B35" s="25" t="str">
        <f aca="false">IF(B25="","","Odds ratio "&amp;TEXT(B25,"0.00")&amp;" (95% CI "&amp;TEXT(B27,"0.00")&amp;" to "&amp;TEXT(B28,"0.00")&amp;")")</f>
        <v/>
      </c>
      <c r="C35" s="25"/>
      <c r="D35" s="25"/>
    </row>
    <row r="37" customFormat="false" ht="15" hidden="false" customHeight="false" outlineLevel="0" collapsed="false">
      <c r="A37" s="6" t="s">
        <v>167</v>
      </c>
    </row>
    <row r="38" customFormat="false" ht="15" hidden="false" customHeight="false" outlineLevel="0" collapsed="false">
      <c r="A38" s="17" t="s">
        <v>168</v>
      </c>
    </row>
  </sheetData>
  <sheetProtection sheet="true" formatColumns="false" formatRows="false"/>
  <mergeCells count="10">
    <mergeCell ref="B4:D4"/>
    <mergeCell ref="B5:D5"/>
    <mergeCell ref="B6:D6"/>
    <mergeCell ref="B7:D7"/>
    <mergeCell ref="B8:D8"/>
    <mergeCell ref="B9:D9"/>
    <mergeCell ref="B32:D32"/>
    <mergeCell ref="B33:D33"/>
    <mergeCell ref="B34:D34"/>
    <mergeCell ref="B35:D35"/>
  </mergeCells>
  <dataValidations count="1">
    <dataValidation allowBlank="true" errorStyle="stop" operator="between" prompt="Choose any one table" promptTitle="Table" showDropDown="false" showErrorMessage="false" showInputMessage="false" sqref="B5" type="list">
      <formula1>'Data tables'!$Q$6:$Q$24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4" min="3" style="0" width="40"/>
    <col collapsed="false" customWidth="true" hidden="true" outlineLevel="0" max="8" min="8" style="0" width="13"/>
  </cols>
  <sheetData>
    <row r="1" customFormat="false" ht="19.7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5" customFormat="false" ht="15" hidden="false" customHeight="false" outlineLevel="0" collapsed="false">
      <c r="A5" s="11" t="s">
        <v>171</v>
      </c>
      <c r="B5" s="12"/>
      <c r="C5" s="12"/>
      <c r="H5" s="0" t="str">
        <f aca="false">IFERROR(MATCH(B5,'Data tables'!$Q$6:$Q$24,0),"")</f>
        <v/>
      </c>
    </row>
    <row r="6" customFormat="false" ht="15" hidden="false" customHeight="false" outlineLevel="0" collapsed="false">
      <c r="A6" s="11" t="s">
        <v>25</v>
      </c>
      <c r="B6" s="13" t="str">
        <f aca="false">IFERROR(INDEX('Data tables'!$D$6:$D$24,$H$5),"")</f>
        <v/>
      </c>
      <c r="C6" s="13"/>
    </row>
    <row r="7" customFormat="false" ht="15" hidden="false" customHeight="false" outlineLevel="0" collapsed="false">
      <c r="A7" s="11" t="s">
        <v>28</v>
      </c>
      <c r="B7" s="13" t="str">
        <f aca="false">IFERROR(INDEX('Data tables'!$G$6:$G$24,$H$5),"")</f>
        <v/>
      </c>
      <c r="C7" s="13"/>
    </row>
    <row r="9" customFormat="false" ht="15" hidden="false" customHeight="false" outlineLevel="0" collapsed="false">
      <c r="A9" s="14" t="s">
        <v>132</v>
      </c>
      <c r="B9" s="14" t="s">
        <v>172</v>
      </c>
      <c r="C9" s="14" t="s">
        <v>173</v>
      </c>
    </row>
    <row r="10" customFormat="false" ht="15" hidden="false" customHeight="false" outlineLevel="0" collapsed="false">
      <c r="A10" s="11" t="str">
        <f aca="false">"Exposed: "&amp;IFERROR(INDEX('Data tables'!$E$6:$E$24,$H$5),"")</f>
        <v>Exposed: </v>
      </c>
      <c r="B10" s="15"/>
      <c r="C10" s="26"/>
      <c r="D10" s="17" t="s">
        <v>174</v>
      </c>
    </row>
    <row r="11" customFormat="false" ht="15" hidden="false" customHeight="false" outlineLevel="0" collapsed="false">
      <c r="A11" s="11" t="str">
        <f aca="false">"Unexposed: "&amp;IFERROR(INDEX('Data tables'!$F$6:$F$24,$H$5),"")</f>
        <v>Unexposed: </v>
      </c>
      <c r="B11" s="15"/>
      <c r="C11" s="26"/>
      <c r="D11" s="17" t="s">
        <v>175</v>
      </c>
    </row>
    <row r="13" customFormat="false" ht="15" hidden="false" customHeight="false" outlineLevel="0" collapsed="false">
      <c r="A13" s="6" t="s">
        <v>138</v>
      </c>
    </row>
    <row r="14" customFormat="false" ht="15" hidden="false" customHeight="false" outlineLevel="0" collapsed="false">
      <c r="A14" s="14" t="s">
        <v>139</v>
      </c>
      <c r="B14" s="14" t="s">
        <v>140</v>
      </c>
      <c r="C14" s="14" t="s">
        <v>141</v>
      </c>
    </row>
    <row r="15" customFormat="false" ht="15" hidden="false" customHeight="false" outlineLevel="0" collapsed="false">
      <c r="A15" s="11" t="s">
        <v>176</v>
      </c>
      <c r="B15" s="27" t="str">
        <f aca="false">IFERROR(B10/C10*1000,"")</f>
        <v/>
      </c>
      <c r="C15" s="21" t="s">
        <v>177</v>
      </c>
    </row>
    <row r="16" customFormat="false" ht="15" hidden="false" customHeight="false" outlineLevel="0" collapsed="false">
      <c r="A16" s="11" t="s">
        <v>178</v>
      </c>
      <c r="B16" s="27" t="str">
        <f aca="false">IFERROR(B11/C11*1000,"")</f>
        <v/>
      </c>
      <c r="C16" s="21" t="s">
        <v>177</v>
      </c>
    </row>
    <row r="17" customFormat="false" ht="15" hidden="false" customHeight="false" outlineLevel="0" collapsed="false">
      <c r="A17" s="11" t="s">
        <v>179</v>
      </c>
      <c r="B17" s="22" t="str">
        <f aca="false">IFERROR(B15/B16,"")</f>
        <v/>
      </c>
      <c r="C17" s="21" t="s">
        <v>180</v>
      </c>
    </row>
    <row r="18" customFormat="false" ht="15" hidden="false" customHeight="false" outlineLevel="0" collapsed="false">
      <c r="A18" s="11" t="s">
        <v>181</v>
      </c>
      <c r="B18" s="23" t="str">
        <f aca="false">IFERROR(SQRT(1/B10+1/B11),"")</f>
        <v/>
      </c>
      <c r="C18" s="21" t="s">
        <v>182</v>
      </c>
    </row>
    <row r="19" customFormat="false" ht="15" hidden="false" customHeight="false" outlineLevel="0" collapsed="false">
      <c r="A19" s="11" t="s">
        <v>183</v>
      </c>
      <c r="B19" s="24" t="str">
        <f aca="false">IFERROR(EXP(LN(B17)-1.96*B18),"")</f>
        <v/>
      </c>
      <c r="C19" s="21" t="s">
        <v>184</v>
      </c>
    </row>
    <row r="20" customFormat="false" ht="15" hidden="false" customHeight="false" outlineLevel="0" collapsed="false">
      <c r="A20" s="11" t="s">
        <v>185</v>
      </c>
      <c r="B20" s="24" t="str">
        <f aca="false">IFERROR(EXP(LN(B17)+1.96*B18),"")</f>
        <v/>
      </c>
      <c r="C20" s="21" t="s">
        <v>186</v>
      </c>
    </row>
    <row r="22" customFormat="false" ht="30" hidden="false" customHeight="true" outlineLevel="0" collapsed="false">
      <c r="A22" s="11" t="s">
        <v>187</v>
      </c>
      <c r="B22" s="28" t="str">
        <f aca="false">IF(B17="","","Rates "&amp;TEXT(B15,"0.0")&amp;" vs "&amp;TEXT(B16,"0.0")&amp;" per 1,000 person-years; rate ratio "&amp;TEXT(B17,"0.00")&amp;" (95% CI "&amp;TEXT(B19,"0.00")&amp;" to "&amp;TEXT(B20,"0.00")&amp;")")</f>
        <v/>
      </c>
      <c r="C22" s="28"/>
    </row>
  </sheetData>
  <sheetProtection sheet="true" formatColumns="false" formatRows="false"/>
  <mergeCells count="4">
    <mergeCell ref="B5:C5"/>
    <mergeCell ref="B6:C6"/>
    <mergeCell ref="B7:C7"/>
    <mergeCell ref="B22:C22"/>
  </mergeCells>
  <dataValidations count="1">
    <dataValidation allowBlank="true" errorStyle="stop" operator="between" showDropDown="false" showErrorMessage="false" showInputMessage="false" sqref="B5" type="list">
      <formula1>'Data tables'!$Q$17:$Q$24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27" hidden="false" customHeight="true" outlineLevel="0" collapsed="false">
      <c r="A4" s="18" t="s">
        <v>190</v>
      </c>
      <c r="B4" s="13" t="str">
        <f aca="false">IF('2x2 calculator'!B4="","",'2x2 calculator'!B4)</f>
        <v/>
      </c>
      <c r="C4" s="13"/>
      <c r="D4" s="13"/>
    </row>
    <row r="5" customFormat="false" ht="27" hidden="false" customHeight="true" outlineLevel="0" collapsed="false">
      <c r="A5" s="18" t="s">
        <v>191</v>
      </c>
      <c r="B5" s="13" t="str">
        <f aca="false">IF('2x2 calculator'!B5="","",'2x2 calculator'!B5)</f>
        <v/>
      </c>
      <c r="C5" s="13"/>
      <c r="D5" s="13"/>
    </row>
    <row r="6" customFormat="false" ht="27" hidden="false" customHeight="true" outlineLevel="0" collapsed="false">
      <c r="A6" s="18" t="s">
        <v>23</v>
      </c>
      <c r="B6" s="13" t="str">
        <f aca="false">IF('2x2 calculator'!B6="","",'2x2 calculator'!B6)</f>
        <v/>
      </c>
      <c r="C6" s="13"/>
      <c r="D6" s="13"/>
    </row>
    <row r="7" customFormat="false" ht="27" hidden="false" customHeight="true" outlineLevel="0" collapsed="false">
      <c r="A7" s="18" t="s">
        <v>24</v>
      </c>
      <c r="B7" s="13" t="str">
        <f aca="false">IF('2x2 calculator'!B7="","",'2x2 calculator'!B7)</f>
        <v/>
      </c>
      <c r="C7" s="13"/>
      <c r="D7" s="13"/>
    </row>
    <row r="9" customFormat="false" ht="15" hidden="false" customHeight="false" outlineLevel="0" collapsed="false">
      <c r="A9" s="14" t="s">
        <v>192</v>
      </c>
      <c r="B9" s="14" t="s">
        <v>133</v>
      </c>
      <c r="C9" s="14" t="s">
        <v>134</v>
      </c>
      <c r="D9" s="14" t="s">
        <v>135</v>
      </c>
    </row>
    <row r="10" customFormat="false" ht="15" hidden="false" customHeight="false" outlineLevel="0" collapsed="false">
      <c r="A10" s="11" t="str">
        <f aca="false">'2x2 calculator'!A12</f>
        <v>Exposed: </v>
      </c>
      <c r="B10" s="16" t="str">
        <f aca="false">IF('2x2 calculator'!B12="","",'2x2 calculator'!B12)</f>
        <v/>
      </c>
      <c r="C10" s="16" t="str">
        <f aca="false">IF('2x2 calculator'!C12="","",'2x2 calculator'!C12)</f>
        <v/>
      </c>
      <c r="D10" s="16" t="str">
        <f aca="false">IF('2x2 calculator'!D12="","",'2x2 calculator'!D12)</f>
        <v/>
      </c>
    </row>
    <row r="11" customFormat="false" ht="15" hidden="false" customHeight="false" outlineLevel="0" collapsed="false">
      <c r="A11" s="11" t="str">
        <f aca="false">'2x2 calculator'!A13</f>
        <v>Unexposed: </v>
      </c>
      <c r="B11" s="16" t="str">
        <f aca="false">IF('2x2 calculator'!B13="","",'2x2 calculator'!B13)</f>
        <v/>
      </c>
      <c r="C11" s="16" t="str">
        <f aca="false">IF('2x2 calculator'!C13="","",'2x2 calculator'!C13)</f>
        <v/>
      </c>
      <c r="D11" s="16" t="str">
        <f aca="false">IF('2x2 calculator'!D13="","",'2x2 calculator'!D13)</f>
        <v/>
      </c>
    </row>
    <row r="12" customFormat="false" ht="15" hidden="false" customHeight="false" outlineLevel="0" collapsed="false">
      <c r="A12" s="18" t="str">
        <f aca="false">'2x2 calculator'!A14</f>
        <v>Total</v>
      </c>
      <c r="B12" s="16" t="str">
        <f aca="false">IF('2x2 calculator'!B14="","",'2x2 calculator'!B14)</f>
        <v/>
      </c>
      <c r="C12" s="16" t="str">
        <f aca="false">IF('2x2 calculator'!C14="","",'2x2 calculator'!C14)</f>
        <v/>
      </c>
      <c r="D12" s="16" t="str">
        <f aca="false">IF('2x2 calculator'!D14="","",'2x2 calculator'!D14)</f>
        <v/>
      </c>
    </row>
    <row r="14" customFormat="false" ht="15" hidden="false" customHeight="false" outlineLevel="0" collapsed="false">
      <c r="A14" s="14" t="s">
        <v>139</v>
      </c>
      <c r="B14" s="14" t="s">
        <v>140</v>
      </c>
    </row>
    <row r="15" customFormat="false" ht="15" hidden="false" customHeight="false" outlineLevel="0" collapsed="false">
      <c r="A15" s="11" t="str">
        <f aca="false">'2x2 calculator'!A18</f>
        <v>Prevalence in exposed (p1)</v>
      </c>
      <c r="B15" s="20" t="str">
        <f aca="false">IF('2x2 calculator'!B18="","",'2x2 calculator'!B18)</f>
        <v/>
      </c>
    </row>
    <row r="16" customFormat="false" ht="15" hidden="false" customHeight="false" outlineLevel="0" collapsed="false">
      <c r="A16" s="11" t="str">
        <f aca="false">'2x2 calculator'!A19</f>
        <v>Prevalence in unexposed (p0)</v>
      </c>
      <c r="B16" s="20" t="str">
        <f aca="false">IF('2x2 calculator'!B19="","",'2x2 calculator'!B19)</f>
        <v/>
      </c>
    </row>
    <row r="17" customFormat="false" ht="15" hidden="false" customHeight="false" outlineLevel="0" collapsed="false">
      <c r="A17" s="11" t="s">
        <v>144</v>
      </c>
      <c r="B17" s="20" t="str">
        <f aca="false">IF('2x2 calculator'!B20="","",'2x2 calculator'!B20)</f>
        <v/>
      </c>
    </row>
    <row r="18" customFormat="false" ht="15" hidden="false" customHeight="false" outlineLevel="0" collapsed="false">
      <c r="A18" s="11" t="str">
        <f aca="false">'2x2 calculator'!A21</f>
        <v>Prevalence ratio</v>
      </c>
      <c r="B18" s="24" t="str">
        <f aca="false">IF('2x2 calculator'!B21="","",'2x2 calculator'!B21)</f>
        <v/>
      </c>
    </row>
    <row r="19" customFormat="false" ht="15" hidden="false" customHeight="false" outlineLevel="0" collapsed="false">
      <c r="A19" s="11" t="s">
        <v>193</v>
      </c>
      <c r="B19" s="29" t="str">
        <f aca="false">IF('2x2 calculator'!B23="","",TEXT('2x2 calculator'!B23,"0.00")&amp;" to "&amp;TEXT('2x2 calculator'!B24,"0.00"))</f>
        <v/>
      </c>
    </row>
    <row r="20" customFormat="false" ht="15" hidden="false" customHeight="false" outlineLevel="0" collapsed="false">
      <c r="A20" s="11" t="s">
        <v>153</v>
      </c>
      <c r="B20" s="24" t="str">
        <f aca="false">IF('2x2 calculator'!B25="","",'2x2 calculator'!B25)</f>
        <v/>
      </c>
    </row>
    <row r="21" customFormat="false" ht="15" hidden="false" customHeight="false" outlineLevel="0" collapsed="false">
      <c r="A21" s="11" t="s">
        <v>194</v>
      </c>
      <c r="B21" s="29" t="str">
        <f aca="false">IF('2x2 calculator'!B27="","",TEXT('2x2 calculator'!B27,"0.00")&amp;" to "&amp;TEXT('2x2 calculator'!B28,"0.00"))</f>
        <v/>
      </c>
    </row>
    <row r="22" customFormat="false" ht="15" hidden="false" customHeight="false" outlineLevel="0" collapsed="false">
      <c r="A22" s="11" t="s">
        <v>161</v>
      </c>
      <c r="B22" s="13" t="str">
        <f aca="false">IF('2x2 calculator'!B29="","",'2x2 calculator'!B29)</f>
        <v/>
      </c>
    </row>
    <row r="24" customFormat="false" ht="15" hidden="false" customHeight="false" outlineLevel="0" collapsed="false">
      <c r="A24" s="6" t="s">
        <v>163</v>
      </c>
    </row>
    <row r="25" customFormat="false" ht="19.5" hidden="false" customHeight="true" outlineLevel="0" collapsed="false">
      <c r="A25" s="13" t="str">
        <f aca="false">'2x2 calculator'!B32</f>
        <v/>
      </c>
      <c r="B25" s="13"/>
      <c r="C25" s="13"/>
      <c r="D25" s="13"/>
    </row>
    <row r="26" customFormat="false" ht="19.5" hidden="false" customHeight="true" outlineLevel="0" collapsed="false">
      <c r="A26" s="13" t="str">
        <f aca="false">'2x2 calculator'!B33</f>
        <v/>
      </c>
      <c r="B26" s="13"/>
      <c r="C26" s="13"/>
      <c r="D26" s="13"/>
    </row>
    <row r="27" customFormat="false" ht="19.5" hidden="false" customHeight="true" outlineLevel="0" collapsed="false">
      <c r="A27" s="13" t="str">
        <f aca="false">'2x2 calculator'!B34</f>
        <v/>
      </c>
      <c r="B27" s="13"/>
      <c r="C27" s="13"/>
      <c r="D27" s="13"/>
    </row>
    <row r="28" customFormat="false" ht="19.5" hidden="false" customHeight="true" outlineLevel="0" collapsed="false">
      <c r="A28" s="13" t="str">
        <f aca="false">'2x2 calculator'!B35</f>
        <v/>
      </c>
      <c r="B28" s="13"/>
      <c r="C28" s="13"/>
      <c r="D28" s="13"/>
    </row>
    <row r="30" customFormat="false" ht="15" hidden="false" customHeight="false" outlineLevel="0" collapsed="false">
      <c r="A30" s="6" t="s">
        <v>195</v>
      </c>
    </row>
    <row r="31" customFormat="false" ht="15" hidden="false" customHeight="false" outlineLevel="0" collapsed="false">
      <c r="A31" s="17" t="s">
        <v>196</v>
      </c>
    </row>
    <row r="32" customFormat="false" ht="25.5" hidden="false" customHeight="true" outlineLevel="0" collapsed="false">
      <c r="A32" s="30"/>
      <c r="B32" s="30"/>
      <c r="C32" s="30"/>
      <c r="D32" s="30"/>
    </row>
    <row r="33" customFormat="false" ht="25.5" hidden="false" customHeight="true" outlineLevel="0" collapsed="false">
      <c r="A33" s="30"/>
      <c r="B33" s="30"/>
      <c r="C33" s="30"/>
      <c r="D33" s="30"/>
    </row>
    <row r="34" customFormat="false" ht="25.5" hidden="false" customHeight="true" outlineLevel="0" collapsed="false">
      <c r="A34" s="30"/>
      <c r="B34" s="30"/>
      <c r="C34" s="30"/>
      <c r="D34" s="30"/>
    </row>
    <row r="35" customFormat="false" ht="15" hidden="false" customHeight="false" outlineLevel="0" collapsed="false">
      <c r="A35" s="6" t="s">
        <v>197</v>
      </c>
    </row>
    <row r="36" customFormat="false" ht="30" hidden="false" customHeight="true" outlineLevel="0" collapsed="false">
      <c r="A36" s="13" t="str">
        <f aca="false">IF('Rate calculator'!B22="","Not used",'Rate calculator'!B5&amp;": "&amp;'Rate calculator'!B22)</f>
        <v>Not used</v>
      </c>
      <c r="B36" s="13"/>
      <c r="C36" s="13"/>
      <c r="D36" s="13"/>
    </row>
  </sheetData>
  <sheetProtection sheet="true" formatColumns="false" formatRows="false"/>
  <mergeCells count="10">
    <mergeCell ref="B4:D4"/>
    <mergeCell ref="B5:D5"/>
    <mergeCell ref="B6:D6"/>
    <mergeCell ref="B7:D7"/>
    <mergeCell ref="A25:D25"/>
    <mergeCell ref="A26:D26"/>
    <mergeCell ref="A27:D27"/>
    <mergeCell ref="A28:D28"/>
    <mergeCell ref="A32:D34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2026-10-01T11:17:05Z</dcterms:created>
  <dc:creator>openpyxl</dc:creator>
  <dc:description/>
  <dc:language>en-US</dc:language>
  <cp:lastModifiedBy/>
  <dcterms:modified xsi:type="dcterms:W3CDTF">2026-10-01T11:17:05Z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